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EG 2025" sheetId="1" r:id="rId5"/>
    <sheet state="visible" name="INEG 2026" sheetId="2" r:id="rId6"/>
  </sheets>
  <definedNames/>
  <calcPr/>
</workbook>
</file>

<file path=xl/sharedStrings.xml><?xml version="1.0" encoding="utf-8"?>
<sst xmlns="http://schemas.openxmlformats.org/spreadsheetml/2006/main" count="80" uniqueCount="38">
  <si>
    <t>Entrada y salida de ingresos economicos voluntarios de la cooperacion del uso de servicios de la sociedad de alumnos de la escuela superior de tlahuelilpan</t>
  </si>
  <si>
    <t>Fisico</t>
  </si>
  <si>
    <t>Fecha</t>
  </si>
  <si>
    <t>Ingresos</t>
  </si>
  <si>
    <t>Egresos</t>
  </si>
  <si>
    <t>Concepto de Egreso</t>
  </si>
  <si>
    <t>Remanencia por Dia</t>
  </si>
  <si>
    <t>Billetes</t>
  </si>
  <si>
    <t>Cantidad</t>
  </si>
  <si>
    <t>Locker</t>
  </si>
  <si>
    <t>Evento</t>
  </si>
  <si>
    <t>Rifa</t>
  </si>
  <si>
    <t>Premio Rifa</t>
  </si>
  <si>
    <t>Calabazas ganacia</t>
  </si>
  <si>
    <t>Calabazas fisicas</t>
  </si>
  <si>
    <t>Premios</t>
  </si>
  <si>
    <t>pinta caritas</t>
  </si>
  <si>
    <t>Rifa boletos atrasado</t>
  </si>
  <si>
    <t>50 C</t>
  </si>
  <si>
    <t>Total</t>
  </si>
  <si>
    <t>Transferencias</t>
  </si>
  <si>
    <t>NU</t>
  </si>
  <si>
    <t>pegatinas</t>
  </si>
  <si>
    <t>Totales</t>
  </si>
  <si>
    <t>Agua</t>
  </si>
  <si>
    <t>Deudas por Pagar</t>
  </si>
  <si>
    <t>Concepto</t>
  </si>
  <si>
    <t>Beneficios 2025</t>
  </si>
  <si>
    <t>Lockers</t>
  </si>
  <si>
    <t>Copias</t>
  </si>
  <si>
    <t>Microondas</t>
  </si>
  <si>
    <t>Garrafones</t>
  </si>
  <si>
    <t>Agua 1</t>
  </si>
  <si>
    <t>Deuda a SAESTL</t>
  </si>
  <si>
    <t>pegatinas y boletos</t>
  </si>
  <si>
    <t>Botellas</t>
  </si>
  <si>
    <t>Boletos Teo</t>
  </si>
  <si>
    <t>Pago Evento Teo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</si>
</sst>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"/>
    <numFmt numFmtId="165" formatCode="dd/mm/yy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sz val="15.0"/>
      <color theme="1"/>
      <name val="Arial"/>
      <scheme val="minor"/>
    </font>
    <font>
      <b/>
      <color theme="1"/>
      <name val="Arial"/>
      <scheme val="minor"/>
    </font>
    <font/>
    <font>
      <color rgb="FF000000"/>
      <name val="Arial"/>
    </font>
    <font>
      <b/>
      <sz val="14.0"/>
      <color theme="1"/>
      <name val="Arial"/>
      <scheme val="minor"/>
    </font>
    <font>
      <b/>
      <color rgb="FF00FF00"/>
      <name val="Arial"/>
      <scheme val="minor"/>
    </font>
    <font>
      <b/>
      <color rgb="FFFF0000"/>
      <name val="Arial"/>
      <scheme val="minor"/>
    </font>
    <font>
      <b/>
      <color rgb="FF980000"/>
      <name val="Arial"/>
      <scheme val="minor"/>
    </font>
    <font>
      <color rgb="FF00FF00"/>
      <name val="Arial"/>
      <scheme val="minor"/>
    </font>
    <font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horizontal="center" readingOrder="0" vertical="center"/>
    </xf>
    <xf borderId="1" fillId="0" fontId="3" numFmtId="0" xfId="0" applyAlignment="1" applyBorder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 readingOrder="0"/>
    </xf>
    <xf borderId="4" fillId="0" fontId="1" numFmtId="164" xfId="0" applyAlignment="1" applyBorder="1" applyFont="1" applyNumberFormat="1">
      <alignment readingOrder="0"/>
    </xf>
    <xf borderId="4" fillId="0" fontId="1" numFmtId="0" xfId="0" applyAlignment="1" applyBorder="1" applyFont="1">
      <alignment readingOrder="0"/>
    </xf>
    <xf borderId="4" fillId="0" fontId="1" numFmtId="0" xfId="0" applyBorder="1" applyFont="1"/>
    <xf borderId="4" fillId="0" fontId="1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right" readingOrder="0" shrinkToFit="0" vertical="bottom" wrapText="0"/>
    </xf>
    <xf borderId="0" fillId="0" fontId="1" numFmtId="0" xfId="0" applyFont="1"/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0" fillId="0" fontId="6" numFmtId="0" xfId="0" applyAlignment="1" applyFont="1">
      <alignment horizontal="center" readingOrder="0" shrinkToFit="0" vertical="center" wrapText="1"/>
    </xf>
    <xf borderId="4" fillId="0" fontId="1" numFmtId="165" xfId="0" applyAlignment="1" applyBorder="1" applyFont="1" applyNumberFormat="1">
      <alignment readingOrder="0"/>
    </xf>
    <xf borderId="0" fillId="0" fontId="3" numFmtId="0" xfId="0" applyAlignment="1" applyFont="1">
      <alignment readingOrder="0"/>
    </xf>
    <xf borderId="4" fillId="0" fontId="3" numFmtId="0" xfId="0" applyAlignment="1" applyBorder="1" applyFont="1">
      <alignment horizontal="center" readingOrder="0" shrinkToFit="0" wrapText="1"/>
    </xf>
    <xf borderId="4" fillId="0" fontId="7" numFmtId="0" xfId="0" applyAlignment="1" applyBorder="1" applyFont="1">
      <alignment readingOrder="0"/>
    </xf>
    <xf borderId="4" fillId="0" fontId="8" numFmtId="0" xfId="0" applyBorder="1" applyFont="1"/>
    <xf borderId="4" fillId="0" fontId="9" numFmtId="0" xfId="0" applyBorder="1" applyFont="1"/>
    <xf borderId="0" fillId="0" fontId="1" numFmtId="0" xfId="0" applyAlignment="1" applyFont="1">
      <alignment readingOrder="0"/>
    </xf>
    <xf borderId="4" fillId="0" fontId="8" numFmtId="0" xfId="0" applyAlignment="1" applyBorder="1" applyFont="1">
      <alignment readingOrder="0"/>
    </xf>
    <xf borderId="4" fillId="0" fontId="9" numFmtId="0" xfId="0" applyAlignment="1" applyBorder="1" applyFont="1">
      <alignment readingOrder="0"/>
    </xf>
    <xf borderId="4" fillId="0" fontId="7" numFmtId="0" xfId="0" applyBorder="1" applyFont="1"/>
    <xf borderId="4" fillId="0" fontId="10" numFmtId="0" xfId="0" applyBorder="1" applyFont="1"/>
    <xf borderId="4" fillId="0" fontId="1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6.25"/>
  </cols>
  <sheetData>
    <row r="2" ht="45.75" customHeight="1">
      <c r="F2" s="1" t="s">
        <v>0</v>
      </c>
    </row>
    <row r="3" ht="30.75" customHeight="1">
      <c r="A3" s="2"/>
      <c r="B3" s="2"/>
      <c r="C3" s="2"/>
      <c r="F3" s="3">
        <v>2025.0</v>
      </c>
      <c r="G3" s="4"/>
      <c r="H3" s="4"/>
      <c r="I3" s="4"/>
      <c r="J3" s="5"/>
    </row>
    <row r="4" ht="30.75" customHeight="1">
      <c r="A4" s="2" t="s">
        <v>1</v>
      </c>
      <c r="F4" s="6" t="s">
        <v>2</v>
      </c>
      <c r="G4" s="6" t="s">
        <v>3</v>
      </c>
      <c r="H4" s="6" t="s">
        <v>4</v>
      </c>
      <c r="I4" s="6" t="s">
        <v>5</v>
      </c>
      <c r="J4" s="6" t="s">
        <v>6</v>
      </c>
    </row>
    <row r="5">
      <c r="A5" s="7"/>
      <c r="B5" s="8" t="s">
        <v>7</v>
      </c>
      <c r="C5" s="8" t="s">
        <v>8</v>
      </c>
      <c r="F5" s="9">
        <v>45952.0</v>
      </c>
      <c r="G5" s="10">
        <v>50.0</v>
      </c>
      <c r="H5" s="11"/>
      <c r="I5" s="10" t="s">
        <v>9</v>
      </c>
      <c r="J5" s="10">
        <v>50.0</v>
      </c>
    </row>
    <row r="6">
      <c r="A6" s="8">
        <v>1000.0</v>
      </c>
      <c r="B6" s="12">
        <v>0.0</v>
      </c>
      <c r="C6" s="11">
        <f>B6*1000</f>
        <v>0</v>
      </c>
      <c r="F6" s="9">
        <v>45952.0</v>
      </c>
      <c r="G6" s="10">
        <v>50.0</v>
      </c>
      <c r="H6" s="11"/>
      <c r="I6" s="10" t="s">
        <v>9</v>
      </c>
      <c r="J6" s="10">
        <v>100.0</v>
      </c>
    </row>
    <row r="7">
      <c r="A7" s="8">
        <v>500.0</v>
      </c>
      <c r="B7" s="12">
        <v>0.0</v>
      </c>
      <c r="C7" s="11">
        <f>B7*500</f>
        <v>0</v>
      </c>
      <c r="F7" s="9">
        <v>45952.0</v>
      </c>
      <c r="G7" s="10">
        <v>200.0</v>
      </c>
      <c r="H7" s="11"/>
      <c r="I7" s="10" t="s">
        <v>10</v>
      </c>
      <c r="J7" s="10">
        <v>300.0</v>
      </c>
    </row>
    <row r="8">
      <c r="A8" s="8">
        <v>200.0</v>
      </c>
      <c r="B8" s="12">
        <v>2.0</v>
      </c>
      <c r="C8" s="11">
        <f>B8*200</f>
        <v>400</v>
      </c>
      <c r="F8" s="9">
        <v>45957.0</v>
      </c>
      <c r="G8" s="13">
        <v>9355.0</v>
      </c>
      <c r="H8" s="11"/>
      <c r="I8" s="10" t="s">
        <v>11</v>
      </c>
      <c r="J8" s="11">
        <f>G8+J7</f>
        <v>9655</v>
      </c>
    </row>
    <row r="9">
      <c r="A9" s="8">
        <v>100.0</v>
      </c>
      <c r="B9" s="12"/>
      <c r="C9" s="11">
        <f>B9*100</f>
        <v>0</v>
      </c>
      <c r="F9" s="9">
        <v>45957.0</v>
      </c>
      <c r="G9" s="10"/>
      <c r="H9" s="10">
        <v>3000.0</v>
      </c>
      <c r="I9" s="10" t="s">
        <v>12</v>
      </c>
      <c r="J9" s="11">
        <f>J8-H9</f>
        <v>6655</v>
      </c>
    </row>
    <row r="10">
      <c r="A10" s="8">
        <v>50.0</v>
      </c>
      <c r="B10" s="12">
        <v>6.0</v>
      </c>
      <c r="C10" s="11">
        <f>B10*50</f>
        <v>300</v>
      </c>
      <c r="F10" s="9">
        <v>45960.0</v>
      </c>
      <c r="G10" s="10">
        <v>400.0</v>
      </c>
      <c r="H10" s="11"/>
      <c r="I10" s="10" t="s">
        <v>13</v>
      </c>
      <c r="J10" s="11">
        <f>J9+G10</f>
        <v>7055</v>
      </c>
    </row>
    <row r="11">
      <c r="A11" s="8">
        <v>20.0</v>
      </c>
      <c r="B11" s="12">
        <v>13.0</v>
      </c>
      <c r="C11" s="11">
        <f>B11*20</f>
        <v>260</v>
      </c>
      <c r="F11" s="9">
        <v>45958.0</v>
      </c>
      <c r="G11" s="11"/>
      <c r="H11" s="10">
        <v>500.0</v>
      </c>
      <c r="I11" s="10" t="s">
        <v>14</v>
      </c>
      <c r="J11" s="11">
        <f t="shared" ref="J11:J12" si="1">J10-H11</f>
        <v>6555</v>
      </c>
    </row>
    <row r="12">
      <c r="A12" s="8">
        <v>10.0</v>
      </c>
      <c r="B12" s="12">
        <v>34.0</v>
      </c>
      <c r="C12" s="11">
        <f>B12*10</f>
        <v>340</v>
      </c>
      <c r="F12" s="9">
        <v>45960.0</v>
      </c>
      <c r="G12" s="11"/>
      <c r="H12" s="10">
        <v>5500.0</v>
      </c>
      <c r="I12" s="10" t="s">
        <v>15</v>
      </c>
      <c r="J12" s="11">
        <f t="shared" si="1"/>
        <v>1055</v>
      </c>
    </row>
    <row r="13">
      <c r="A13" s="8">
        <v>5.0</v>
      </c>
      <c r="B13" s="12">
        <v>11.0</v>
      </c>
      <c r="C13" s="11">
        <f>B13*5</f>
        <v>55</v>
      </c>
      <c r="F13" s="9">
        <v>45960.0</v>
      </c>
      <c r="G13" s="10">
        <v>200.0</v>
      </c>
      <c r="H13" s="11"/>
      <c r="I13" s="10" t="s">
        <v>16</v>
      </c>
      <c r="J13" s="10">
        <f t="shared" ref="J13:J36" si="2">J12+G13</f>
        <v>1255</v>
      </c>
    </row>
    <row r="14">
      <c r="A14" s="8">
        <v>2.0</v>
      </c>
      <c r="B14" s="12"/>
      <c r="C14" s="11">
        <f>B14*2</f>
        <v>0</v>
      </c>
      <c r="F14" s="9">
        <v>45960.0</v>
      </c>
      <c r="G14" s="10">
        <v>300.0</v>
      </c>
      <c r="H14" s="11"/>
      <c r="I14" s="10" t="s">
        <v>17</v>
      </c>
      <c r="J14" s="11">
        <f t="shared" si="2"/>
        <v>1555</v>
      </c>
    </row>
    <row r="15">
      <c r="A15" s="8">
        <v>1.0</v>
      </c>
      <c r="B15" s="8">
        <v>2.0</v>
      </c>
      <c r="C15" s="11">
        <f>B15*1</f>
        <v>2</v>
      </c>
      <c r="F15" s="11"/>
      <c r="G15" s="11"/>
      <c r="H15" s="11"/>
      <c r="I15" s="11"/>
      <c r="J15" s="11">
        <f t="shared" si="2"/>
        <v>1555</v>
      </c>
      <c r="M15" s="14" t="str">
        <f>F1232</f>
        <v/>
      </c>
    </row>
    <row r="16">
      <c r="A16" s="8" t="s">
        <v>18</v>
      </c>
      <c r="B16" s="15">
        <v>5.0</v>
      </c>
      <c r="C16" s="11">
        <f>B16*0.5</f>
        <v>2.5</v>
      </c>
      <c r="F16" s="11"/>
      <c r="G16" s="11"/>
      <c r="H16" s="11"/>
      <c r="I16" s="11"/>
      <c r="J16" s="11">
        <f t="shared" si="2"/>
        <v>1555</v>
      </c>
    </row>
    <row r="17">
      <c r="A17" s="8" t="s">
        <v>19</v>
      </c>
      <c r="B17" s="16"/>
      <c r="C17" s="11">
        <f>SUM(C6:C16)</f>
        <v>1359.5</v>
      </c>
      <c r="F17" s="11"/>
      <c r="G17" s="11"/>
      <c r="H17" s="11"/>
      <c r="I17" s="11"/>
      <c r="J17" s="11">
        <f t="shared" si="2"/>
        <v>1555</v>
      </c>
    </row>
    <row r="18">
      <c r="F18" s="11"/>
      <c r="G18" s="11"/>
      <c r="H18" s="11"/>
      <c r="I18" s="11"/>
      <c r="J18" s="11">
        <f t="shared" si="2"/>
        <v>1555</v>
      </c>
    </row>
    <row r="19">
      <c r="A19" s="17" t="s">
        <v>20</v>
      </c>
      <c r="F19" s="11"/>
      <c r="G19" s="11"/>
      <c r="H19" s="11"/>
      <c r="I19" s="11"/>
      <c r="J19" s="11">
        <f t="shared" si="2"/>
        <v>1555</v>
      </c>
    </row>
    <row r="20">
      <c r="F20" s="18">
        <v>46041.0</v>
      </c>
      <c r="G20" s="10">
        <v>200.0</v>
      </c>
      <c r="H20" s="11"/>
      <c r="I20" s="10" t="s">
        <v>9</v>
      </c>
      <c r="J20" s="11">
        <f t="shared" si="2"/>
        <v>1755</v>
      </c>
    </row>
    <row r="21">
      <c r="A21" s="11"/>
      <c r="B21" s="11"/>
      <c r="C21" s="10" t="s">
        <v>8</v>
      </c>
      <c r="F21" s="18">
        <v>46041.0</v>
      </c>
      <c r="G21" s="10">
        <v>200.0</v>
      </c>
      <c r="H21" s="11"/>
      <c r="I21" s="10" t="s">
        <v>9</v>
      </c>
      <c r="J21" s="11">
        <f t="shared" si="2"/>
        <v>1955</v>
      </c>
    </row>
    <row r="22">
      <c r="A22" s="11"/>
      <c r="B22" s="10" t="s">
        <v>21</v>
      </c>
      <c r="C22" s="10">
        <v>183.5</v>
      </c>
      <c r="F22" s="18">
        <v>46041.0</v>
      </c>
      <c r="G22" s="10">
        <v>200.0</v>
      </c>
      <c r="H22" s="11"/>
      <c r="I22" s="10" t="s">
        <v>9</v>
      </c>
      <c r="J22" s="11">
        <f t="shared" si="2"/>
        <v>2155</v>
      </c>
    </row>
    <row r="23">
      <c r="F23" s="18">
        <v>46041.0</v>
      </c>
      <c r="G23" s="10"/>
      <c r="H23" s="10">
        <v>450.0</v>
      </c>
      <c r="I23" s="10" t="s">
        <v>22</v>
      </c>
      <c r="J23" s="11">
        <f t="shared" si="2"/>
        <v>2155</v>
      </c>
    </row>
    <row r="24">
      <c r="A24" s="19" t="s">
        <v>23</v>
      </c>
      <c r="C24" s="14">
        <f>C22+C17</f>
        <v>1543</v>
      </c>
      <c r="F24" s="18">
        <v>46042.0</v>
      </c>
      <c r="G24" s="10">
        <v>58.0</v>
      </c>
      <c r="H24" s="11"/>
      <c r="I24" s="10" t="s">
        <v>24</v>
      </c>
      <c r="J24" s="11">
        <f t="shared" si="2"/>
        <v>2213</v>
      </c>
    </row>
    <row r="25">
      <c r="F25" s="18">
        <v>46042.0</v>
      </c>
      <c r="G25" s="10">
        <v>84.0</v>
      </c>
      <c r="H25" s="11"/>
      <c r="I25" s="10" t="s">
        <v>24</v>
      </c>
      <c r="J25" s="11">
        <f t="shared" si="2"/>
        <v>2297</v>
      </c>
    </row>
    <row r="26">
      <c r="F26" s="18">
        <v>46043.0</v>
      </c>
      <c r="G26" s="10">
        <v>200.0</v>
      </c>
      <c r="H26" s="11"/>
      <c r="I26" s="10" t="s">
        <v>9</v>
      </c>
      <c r="J26" s="11">
        <f t="shared" si="2"/>
        <v>2497</v>
      </c>
    </row>
    <row r="27">
      <c r="F27" s="18">
        <v>46044.0</v>
      </c>
      <c r="G27" s="10">
        <v>200.0</v>
      </c>
      <c r="H27" s="11"/>
      <c r="I27" s="10" t="s">
        <v>9</v>
      </c>
      <c r="J27" s="11">
        <f t="shared" si="2"/>
        <v>2697</v>
      </c>
    </row>
    <row r="28">
      <c r="F28" s="18">
        <v>46045.0</v>
      </c>
      <c r="G28" s="10">
        <v>200.0</v>
      </c>
      <c r="H28" s="11"/>
      <c r="I28" s="10" t="s">
        <v>9</v>
      </c>
      <c r="J28" s="11">
        <f t="shared" si="2"/>
        <v>2897</v>
      </c>
    </row>
    <row r="29">
      <c r="F29" s="18">
        <v>46046.0</v>
      </c>
      <c r="G29" s="10">
        <v>200.0</v>
      </c>
      <c r="H29" s="11"/>
      <c r="I29" s="10" t="s">
        <v>9</v>
      </c>
      <c r="J29" s="11">
        <f t="shared" si="2"/>
        <v>3097</v>
      </c>
    </row>
    <row r="30">
      <c r="F30" s="11"/>
      <c r="G30" s="11"/>
      <c r="H30" s="11"/>
      <c r="I30" s="11"/>
      <c r="J30" s="11">
        <f t="shared" si="2"/>
        <v>3097</v>
      </c>
    </row>
    <row r="31">
      <c r="F31" s="11"/>
      <c r="G31" s="11"/>
      <c r="H31" s="11"/>
      <c r="I31" s="11"/>
      <c r="J31" s="11">
        <f t="shared" si="2"/>
        <v>3097</v>
      </c>
    </row>
    <row r="32">
      <c r="F32" s="11"/>
      <c r="G32" s="11"/>
      <c r="H32" s="11"/>
      <c r="I32" s="11"/>
      <c r="J32" s="11">
        <f t="shared" si="2"/>
        <v>3097</v>
      </c>
    </row>
    <row r="33">
      <c r="F33" s="11"/>
      <c r="G33" s="11"/>
      <c r="H33" s="11"/>
      <c r="I33" s="11"/>
      <c r="J33" s="11">
        <f t="shared" si="2"/>
        <v>3097</v>
      </c>
    </row>
    <row r="34">
      <c r="F34" s="11"/>
      <c r="G34" s="11"/>
      <c r="H34" s="11"/>
      <c r="I34" s="11"/>
      <c r="J34" s="11">
        <f t="shared" si="2"/>
        <v>3097</v>
      </c>
    </row>
    <row r="35">
      <c r="F35" s="11"/>
      <c r="G35" s="11"/>
      <c r="H35" s="11"/>
      <c r="I35" s="11"/>
      <c r="J35" s="11">
        <f t="shared" si="2"/>
        <v>3097</v>
      </c>
    </row>
    <row r="36">
      <c r="F36" s="11"/>
      <c r="G36" s="11"/>
      <c r="H36" s="11"/>
      <c r="I36" s="11"/>
      <c r="J36" s="11">
        <f t="shared" si="2"/>
        <v>3097</v>
      </c>
    </row>
  </sheetData>
  <mergeCells count="4">
    <mergeCell ref="F2:J2"/>
    <mergeCell ref="F3:J3"/>
    <mergeCell ref="A4:C4"/>
    <mergeCell ref="A19:C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1.38"/>
    <col customWidth="1" min="10" max="10" width="16.25"/>
    <col customWidth="1" min="14" max="14" width="14.13"/>
  </cols>
  <sheetData>
    <row r="2" ht="45.75" customHeight="1">
      <c r="F2" s="1" t="s">
        <v>0</v>
      </c>
    </row>
    <row r="3" ht="30.75" customHeight="1">
      <c r="A3" s="2"/>
      <c r="B3" s="2"/>
      <c r="C3" s="2"/>
      <c r="F3" s="3">
        <v>2026.0</v>
      </c>
      <c r="G3" s="4"/>
      <c r="H3" s="4"/>
      <c r="I3" s="4"/>
      <c r="J3" s="4"/>
      <c r="K3" s="5"/>
    </row>
    <row r="4" ht="30.75" customHeight="1">
      <c r="A4" s="2" t="s">
        <v>1</v>
      </c>
      <c r="F4" s="6" t="s">
        <v>2</v>
      </c>
      <c r="G4" s="6" t="s">
        <v>3</v>
      </c>
      <c r="H4" s="6" t="s">
        <v>4</v>
      </c>
      <c r="I4" s="20" t="s">
        <v>25</v>
      </c>
      <c r="J4" s="6" t="s">
        <v>26</v>
      </c>
      <c r="K4" s="6" t="s">
        <v>6</v>
      </c>
    </row>
    <row r="5">
      <c r="A5" s="7"/>
      <c r="B5" s="8" t="s">
        <v>7</v>
      </c>
      <c r="C5" s="8" t="s">
        <v>8</v>
      </c>
      <c r="F5" s="9">
        <v>46023.0</v>
      </c>
      <c r="G5" s="21">
        <f>1543+460</f>
        <v>2003</v>
      </c>
      <c r="H5" s="22"/>
      <c r="I5" s="23"/>
      <c r="J5" s="10" t="s">
        <v>27</v>
      </c>
      <c r="K5" s="11">
        <f>G5-H5</f>
        <v>2003</v>
      </c>
      <c r="N5" s="24" t="s">
        <v>28</v>
      </c>
      <c r="O5" s="24" t="s">
        <v>29</v>
      </c>
    </row>
    <row r="6">
      <c r="A6" s="8"/>
      <c r="B6" s="12"/>
      <c r="C6" s="11"/>
      <c r="F6" s="18">
        <v>46041.0</v>
      </c>
      <c r="G6" s="21"/>
      <c r="H6" s="25">
        <v>0.0</v>
      </c>
      <c r="I6" s="26">
        <v>2000.0</v>
      </c>
      <c r="J6" s="10" t="s">
        <v>30</v>
      </c>
      <c r="K6" s="11">
        <f t="shared" ref="K6:K39" si="1">G6+K5-H6</f>
        <v>2003</v>
      </c>
      <c r="M6" s="24">
        <v>5900.0</v>
      </c>
      <c r="N6" s="14">
        <f>SUM(G9:G11,G15:G19)</f>
        <v>7000</v>
      </c>
    </row>
    <row r="7">
      <c r="A7" s="8"/>
      <c r="B7" s="12"/>
      <c r="C7" s="11"/>
      <c r="F7" s="18">
        <v>46041.0</v>
      </c>
      <c r="G7" s="21"/>
      <c r="H7" s="25">
        <v>0.0</v>
      </c>
      <c r="I7" s="26">
        <v>1800.0</v>
      </c>
      <c r="J7" s="10" t="s">
        <v>31</v>
      </c>
      <c r="K7" s="11">
        <f t="shared" si="1"/>
        <v>2003</v>
      </c>
      <c r="N7" s="24" t="s">
        <v>32</v>
      </c>
    </row>
    <row r="8">
      <c r="A8" s="8"/>
      <c r="B8" s="12"/>
      <c r="C8" s="11"/>
      <c r="F8" s="18">
        <v>46041.0</v>
      </c>
      <c r="G8" s="21"/>
      <c r="H8" s="25">
        <v>0.0</v>
      </c>
      <c r="I8" s="26">
        <v>2000.0</v>
      </c>
      <c r="J8" s="10" t="s">
        <v>33</v>
      </c>
      <c r="K8" s="11">
        <f t="shared" si="1"/>
        <v>2003</v>
      </c>
      <c r="N8" s="14">
        <f>SUM(G13:G14,G20:G23,G26:G27)</f>
        <v>603</v>
      </c>
    </row>
    <row r="9">
      <c r="A9" s="8">
        <v>1000.0</v>
      </c>
      <c r="B9" s="12">
        <v>0.0</v>
      </c>
      <c r="C9" s="11">
        <f>B9*1000</f>
        <v>0</v>
      </c>
      <c r="F9" s="18">
        <v>46041.0</v>
      </c>
      <c r="G9" s="21"/>
      <c r="H9" s="22"/>
      <c r="I9" s="23"/>
      <c r="J9" s="10" t="s">
        <v>9</v>
      </c>
      <c r="K9" s="11">
        <f t="shared" si="1"/>
        <v>2003</v>
      </c>
    </row>
    <row r="10">
      <c r="A10" s="8">
        <v>500.0</v>
      </c>
      <c r="B10" s="12">
        <v>6.0</v>
      </c>
      <c r="C10" s="11">
        <f>B10*500</f>
        <v>3000</v>
      </c>
      <c r="F10" s="18">
        <v>46041.0</v>
      </c>
      <c r="G10" s="21"/>
      <c r="H10" s="22"/>
      <c r="I10" s="23"/>
      <c r="J10" s="10" t="s">
        <v>9</v>
      </c>
      <c r="K10" s="11">
        <f t="shared" si="1"/>
        <v>2003</v>
      </c>
    </row>
    <row r="11">
      <c r="A11" s="8">
        <v>200.0</v>
      </c>
      <c r="B11" s="12">
        <v>11.0</v>
      </c>
      <c r="C11" s="11">
        <f>B11*200</f>
        <v>2200</v>
      </c>
      <c r="F11" s="18">
        <v>46041.0</v>
      </c>
      <c r="G11" s="21"/>
      <c r="H11" s="22"/>
      <c r="I11" s="23"/>
      <c r="J11" s="10" t="s">
        <v>9</v>
      </c>
      <c r="K11" s="11">
        <f t="shared" si="1"/>
        <v>2003</v>
      </c>
    </row>
    <row r="12">
      <c r="A12" s="8">
        <v>100.0</v>
      </c>
      <c r="B12" s="12">
        <v>9.0</v>
      </c>
      <c r="C12" s="11">
        <f>B12*100</f>
        <v>900</v>
      </c>
      <c r="F12" s="18">
        <v>46041.0</v>
      </c>
      <c r="G12" s="21"/>
      <c r="H12" s="25">
        <v>450.0</v>
      </c>
      <c r="I12" s="23"/>
      <c r="J12" s="10" t="s">
        <v>34</v>
      </c>
      <c r="K12" s="11">
        <f t="shared" si="1"/>
        <v>1553</v>
      </c>
    </row>
    <row r="13">
      <c r="A13" s="8">
        <v>50.0</v>
      </c>
      <c r="B13" s="12">
        <v>4.0</v>
      </c>
      <c r="C13" s="11">
        <f>B13*50</f>
        <v>200</v>
      </c>
      <c r="F13" s="18">
        <v>46042.0</v>
      </c>
      <c r="G13" s="21">
        <v>58.0</v>
      </c>
      <c r="H13" s="22"/>
      <c r="I13" s="23"/>
      <c r="J13" s="10" t="s">
        <v>24</v>
      </c>
      <c r="K13" s="11">
        <f t="shared" si="1"/>
        <v>1611</v>
      </c>
    </row>
    <row r="14">
      <c r="A14" s="8">
        <v>20.0</v>
      </c>
      <c r="B14" s="12">
        <v>17.0</v>
      </c>
      <c r="C14" s="11">
        <f>B14*20</f>
        <v>340</v>
      </c>
      <c r="F14" s="18">
        <v>46042.0</v>
      </c>
      <c r="G14" s="21">
        <v>84.0</v>
      </c>
      <c r="H14" s="22"/>
      <c r="I14" s="23"/>
      <c r="J14" s="10" t="s">
        <v>24</v>
      </c>
      <c r="K14" s="11">
        <f t="shared" si="1"/>
        <v>1695</v>
      </c>
    </row>
    <row r="15">
      <c r="A15" s="8">
        <v>10.0</v>
      </c>
      <c r="B15" s="12">
        <v>42.0</v>
      </c>
      <c r="C15" s="11">
        <f>B15*10</f>
        <v>420</v>
      </c>
      <c r="F15" s="18">
        <v>46043.0</v>
      </c>
      <c r="G15" s="21"/>
      <c r="H15" s="22"/>
      <c r="I15" s="23"/>
      <c r="J15" s="10" t="s">
        <v>9</v>
      </c>
      <c r="K15" s="11">
        <f t="shared" si="1"/>
        <v>1695</v>
      </c>
    </row>
    <row r="16">
      <c r="A16" s="8">
        <v>5.0</v>
      </c>
      <c r="B16" s="12">
        <v>46.0</v>
      </c>
      <c r="C16" s="11">
        <f>B16*5</f>
        <v>230</v>
      </c>
      <c r="F16" s="18">
        <v>46043.0</v>
      </c>
      <c r="G16" s="21"/>
      <c r="H16" s="22"/>
      <c r="I16" s="23"/>
      <c r="J16" s="10" t="s">
        <v>9</v>
      </c>
      <c r="K16" s="11">
        <f t="shared" si="1"/>
        <v>1695</v>
      </c>
    </row>
    <row r="17">
      <c r="A17" s="8">
        <v>2.0</v>
      </c>
      <c r="B17" s="12">
        <v>58.0</v>
      </c>
      <c r="C17" s="11">
        <f>B17*2</f>
        <v>116</v>
      </c>
      <c r="F17" s="18">
        <v>46043.0</v>
      </c>
      <c r="G17" s="21">
        <v>200.0</v>
      </c>
      <c r="H17" s="22"/>
      <c r="I17" s="23"/>
      <c r="J17" s="10" t="s">
        <v>9</v>
      </c>
      <c r="K17" s="11">
        <f t="shared" si="1"/>
        <v>1895</v>
      </c>
    </row>
    <row r="18">
      <c r="A18" s="8">
        <v>1.0</v>
      </c>
      <c r="B18" s="8">
        <v>166.0</v>
      </c>
      <c r="C18" s="11">
        <f>B18*1</f>
        <v>166</v>
      </c>
      <c r="F18" s="18">
        <v>46043.0</v>
      </c>
      <c r="G18" s="21">
        <v>200.0</v>
      </c>
      <c r="H18" s="22"/>
      <c r="I18" s="23"/>
      <c r="J18" s="10" t="s">
        <v>9</v>
      </c>
      <c r="K18" s="11">
        <f t="shared" si="1"/>
        <v>2095</v>
      </c>
      <c r="N18" s="14" t="str">
        <f>F1235</f>
        <v/>
      </c>
    </row>
    <row r="19">
      <c r="A19" s="8" t="s">
        <v>18</v>
      </c>
      <c r="B19" s="15">
        <v>17.0</v>
      </c>
      <c r="C19" s="11">
        <f>B19*0.5</f>
        <v>8.5</v>
      </c>
      <c r="F19" s="18">
        <v>46044.0</v>
      </c>
      <c r="G19" s="21">
        <v>6600.0</v>
      </c>
      <c r="H19" s="22"/>
      <c r="I19" s="23"/>
      <c r="J19" s="10" t="s">
        <v>9</v>
      </c>
      <c r="K19" s="11">
        <f t="shared" si="1"/>
        <v>8695</v>
      </c>
    </row>
    <row r="20">
      <c r="A20" s="8" t="s">
        <v>19</v>
      </c>
      <c r="B20" s="16"/>
      <c r="C20" s="11">
        <f>SUM(C9:C19)</f>
        <v>7580.5</v>
      </c>
      <c r="F20" s="18">
        <v>46044.0</v>
      </c>
      <c r="G20" s="21">
        <v>110.0</v>
      </c>
      <c r="H20" s="22"/>
      <c r="I20" s="23"/>
      <c r="J20" s="10" t="s">
        <v>24</v>
      </c>
      <c r="K20" s="11">
        <f t="shared" si="1"/>
        <v>8805</v>
      </c>
    </row>
    <row r="21">
      <c r="F21" s="18">
        <v>46044.0</v>
      </c>
      <c r="G21" s="21">
        <v>85.0</v>
      </c>
      <c r="H21" s="22"/>
      <c r="I21" s="23"/>
      <c r="J21" s="10" t="s">
        <v>24</v>
      </c>
      <c r="K21" s="11">
        <f t="shared" si="1"/>
        <v>8890</v>
      </c>
    </row>
    <row r="22">
      <c r="A22" s="17" t="s">
        <v>20</v>
      </c>
      <c r="F22" s="18">
        <v>46045.0</v>
      </c>
      <c r="G22" s="21">
        <v>46.0</v>
      </c>
      <c r="H22" s="22"/>
      <c r="I22" s="23"/>
      <c r="J22" s="10" t="s">
        <v>24</v>
      </c>
      <c r="K22" s="11">
        <f t="shared" si="1"/>
        <v>8936</v>
      </c>
    </row>
    <row r="23">
      <c r="F23" s="18">
        <v>46048.0</v>
      </c>
      <c r="G23" s="21">
        <v>70.0</v>
      </c>
      <c r="H23" s="22"/>
      <c r="I23" s="23"/>
      <c r="J23" s="10" t="s">
        <v>24</v>
      </c>
      <c r="K23" s="11">
        <f t="shared" si="1"/>
        <v>9006</v>
      </c>
    </row>
    <row r="24">
      <c r="A24" s="11"/>
      <c r="B24" s="11"/>
      <c r="C24" s="10" t="s">
        <v>8</v>
      </c>
      <c r="F24" s="18">
        <v>46048.0</v>
      </c>
      <c r="G24" s="21">
        <v>51.0</v>
      </c>
      <c r="H24" s="22"/>
      <c r="I24" s="23"/>
      <c r="J24" s="10" t="s">
        <v>29</v>
      </c>
      <c r="K24" s="11">
        <f t="shared" si="1"/>
        <v>9057</v>
      </c>
    </row>
    <row r="25">
      <c r="A25" s="11"/>
      <c r="B25" s="10" t="s">
        <v>21</v>
      </c>
      <c r="C25" s="10">
        <v>388.15</v>
      </c>
      <c r="F25" s="18">
        <v>46049.0</v>
      </c>
      <c r="G25" s="27"/>
      <c r="H25" s="25">
        <v>1200.0</v>
      </c>
      <c r="I25" s="23"/>
      <c r="J25" s="10" t="s">
        <v>35</v>
      </c>
      <c r="K25" s="11">
        <f t="shared" si="1"/>
        <v>7857</v>
      </c>
    </row>
    <row r="26">
      <c r="F26" s="18">
        <v>46049.0</v>
      </c>
      <c r="G26" s="21">
        <v>56.0</v>
      </c>
      <c r="H26" s="22"/>
      <c r="I26" s="23"/>
      <c r="J26" s="10" t="s">
        <v>24</v>
      </c>
      <c r="K26" s="11">
        <f t="shared" si="1"/>
        <v>7913</v>
      </c>
    </row>
    <row r="27">
      <c r="A27" s="19" t="s">
        <v>23</v>
      </c>
      <c r="C27" s="14">
        <f>C25+C20</f>
        <v>7968.65</v>
      </c>
      <c r="F27" s="18">
        <v>46050.0</v>
      </c>
      <c r="G27" s="21">
        <v>94.0</v>
      </c>
      <c r="H27" s="22"/>
      <c r="I27" s="23"/>
      <c r="J27" s="10" t="s">
        <v>24</v>
      </c>
      <c r="K27" s="11">
        <f t="shared" si="1"/>
        <v>8007</v>
      </c>
    </row>
    <row r="28">
      <c r="F28" s="18">
        <v>46050.0</v>
      </c>
      <c r="G28" s="21">
        <v>6080.0</v>
      </c>
      <c r="H28" s="22"/>
      <c r="I28" s="23"/>
      <c r="J28" s="10" t="s">
        <v>36</v>
      </c>
      <c r="K28" s="11">
        <f t="shared" si="1"/>
        <v>14087</v>
      </c>
    </row>
    <row r="29">
      <c r="F29" s="18">
        <v>46050.0</v>
      </c>
      <c r="G29" s="21">
        <v>51.0</v>
      </c>
      <c r="H29" s="22"/>
      <c r="I29" s="23"/>
      <c r="J29" s="10" t="s">
        <v>29</v>
      </c>
      <c r="K29" s="11">
        <f t="shared" si="1"/>
        <v>14138</v>
      </c>
    </row>
    <row r="30">
      <c r="F30" s="18">
        <v>46050.0</v>
      </c>
      <c r="G30" s="27"/>
      <c r="H30" s="25">
        <v>6080.0</v>
      </c>
      <c r="I30" s="23"/>
      <c r="J30" s="10" t="s">
        <v>37</v>
      </c>
      <c r="K30" s="11">
        <f t="shared" si="1"/>
        <v>8058</v>
      </c>
    </row>
    <row r="31">
      <c r="F31" s="11"/>
      <c r="G31" s="27"/>
      <c r="H31" s="22"/>
      <c r="I31" s="23"/>
      <c r="J31" s="11"/>
      <c r="K31" s="11">
        <f t="shared" si="1"/>
        <v>8058</v>
      </c>
    </row>
    <row r="32">
      <c r="F32" s="11"/>
      <c r="G32" s="27"/>
      <c r="H32" s="22"/>
      <c r="I32" s="23"/>
      <c r="J32" s="11"/>
      <c r="K32" s="11">
        <f t="shared" si="1"/>
        <v>8058</v>
      </c>
    </row>
    <row r="33">
      <c r="F33" s="11"/>
      <c r="G33" s="27"/>
      <c r="H33" s="22"/>
      <c r="I33" s="23"/>
      <c r="J33" s="11"/>
      <c r="K33" s="11">
        <f t="shared" si="1"/>
        <v>8058</v>
      </c>
    </row>
    <row r="34">
      <c r="F34" s="11"/>
      <c r="G34" s="27"/>
      <c r="H34" s="22"/>
      <c r="I34" s="23"/>
      <c r="J34" s="11"/>
      <c r="K34" s="11">
        <f t="shared" si="1"/>
        <v>8058</v>
      </c>
    </row>
    <row r="35">
      <c r="F35" s="11"/>
      <c r="G35" s="27"/>
      <c r="H35" s="22"/>
      <c r="I35" s="23"/>
      <c r="J35" s="11"/>
      <c r="K35" s="11">
        <f t="shared" si="1"/>
        <v>8058</v>
      </c>
    </row>
    <row r="36">
      <c r="F36" s="11"/>
      <c r="G36" s="27"/>
      <c r="H36" s="22"/>
      <c r="I36" s="23"/>
      <c r="J36" s="11"/>
      <c r="K36" s="11">
        <f t="shared" si="1"/>
        <v>8058</v>
      </c>
    </row>
    <row r="37">
      <c r="F37" s="11"/>
      <c r="G37" s="27"/>
      <c r="H37" s="22"/>
      <c r="I37" s="23"/>
      <c r="J37" s="11"/>
      <c r="K37" s="11">
        <f t="shared" si="1"/>
        <v>8058</v>
      </c>
    </row>
    <row r="38">
      <c r="F38" s="11"/>
      <c r="G38" s="27"/>
      <c r="H38" s="22"/>
      <c r="I38" s="23"/>
      <c r="J38" s="11"/>
      <c r="K38" s="11">
        <f t="shared" si="1"/>
        <v>8058</v>
      </c>
    </row>
    <row r="39">
      <c r="F39" s="11"/>
      <c r="G39" s="28"/>
      <c r="H39" s="29"/>
      <c r="I39" s="23"/>
      <c r="J39" s="11"/>
      <c r="K39" s="11">
        <f t="shared" si="1"/>
        <v>8058</v>
      </c>
    </row>
  </sheetData>
  <mergeCells count="4">
    <mergeCell ref="A4:C4"/>
    <mergeCell ref="A22:C23"/>
    <mergeCell ref="F2:K2"/>
    <mergeCell ref="F3:K3"/>
  </mergeCells>
  <drawing r:id="rId1"/>
</worksheet>
</file>